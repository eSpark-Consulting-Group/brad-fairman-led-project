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bradfairman-ledproject\Design-Files\Button-Board_v2.2\Design File\Project Outputs for Button-Board_v2.2\"/>
    </mc:Choice>
  </mc:AlternateContent>
  <xr:revisionPtr revIDLastSave="0" documentId="13_ncr:1_{7A3D00A4-6F3D-4D6D-9E50-D8A028FB9FAF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33" i="1" l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<sst xmlns="http://schemas.openxmlformats.org/spreadsheetml/2006/main" count="223" uniqueCount="170">
  <si>
    <t>#</t>
  </si>
  <si>
    <t>Item Type</t>
  </si>
  <si>
    <t>Capacitor, [NoParam]</t>
  </si>
  <si>
    <t>Capacitor</t>
  </si>
  <si>
    <t>Diode</t>
  </si>
  <si>
    <t>FPC-1mm</t>
  </si>
  <si>
    <t>Male Header</t>
  </si>
  <si>
    <t>Inductor</t>
  </si>
  <si>
    <t>LED</t>
  </si>
  <si>
    <t>Mosfet</t>
  </si>
  <si>
    <t>Transistor</t>
  </si>
  <si>
    <t>Resistor</t>
  </si>
  <si>
    <t>Resistors</t>
  </si>
  <si>
    <t>Switch</t>
  </si>
  <si>
    <t>IC</t>
  </si>
  <si>
    <t>Optocouplers</t>
  </si>
  <si>
    <t>Designator</t>
  </si>
  <si>
    <t>C1, C10, C12</t>
  </si>
  <si>
    <t>C2, C15</t>
  </si>
  <si>
    <t>C3, C7</t>
  </si>
  <si>
    <t>C4, C6, C8, C9</t>
  </si>
  <si>
    <t>C13, C14</t>
  </si>
  <si>
    <t>D1</t>
  </si>
  <si>
    <t>J2</t>
  </si>
  <si>
    <t>J3</t>
  </si>
  <si>
    <t>J4</t>
  </si>
  <si>
    <t>L1</t>
  </si>
  <si>
    <t>L2</t>
  </si>
  <si>
    <t>LED1, LED2, LED3</t>
  </si>
  <si>
    <t>Q1</t>
  </si>
  <si>
    <t>Q2</t>
  </si>
  <si>
    <t>R1, R3, R5, R7, R9, R12, R13, R17, R19, R20</t>
  </si>
  <si>
    <t>R4</t>
  </si>
  <si>
    <t>R6</t>
  </si>
  <si>
    <t>R8, R14, R15</t>
  </si>
  <si>
    <t>R10</t>
  </si>
  <si>
    <t>R11, R21</t>
  </si>
  <si>
    <t>R16</t>
  </si>
  <si>
    <t>R18</t>
  </si>
  <si>
    <t>R22, R23</t>
  </si>
  <si>
    <t>SW1</t>
  </si>
  <si>
    <t>U1</t>
  </si>
  <si>
    <t>U2</t>
  </si>
  <si>
    <t>U3</t>
  </si>
  <si>
    <t>U4</t>
  </si>
  <si>
    <t>U5</t>
  </si>
  <si>
    <t>U6</t>
  </si>
  <si>
    <t>U7</t>
  </si>
  <si>
    <t>Description</t>
  </si>
  <si>
    <t>1 µF ±20% 6.3V Ceramic Capacitor X5R 0201 (0603 Metric), CAP CER 1UF 16V X5R 0402, CAP CER 1UF 25V X5R 0402</t>
  </si>
  <si>
    <t>0.1 µF ±10% 16V Ceramic Capacitor X7R 0402 (1005 Metric), CAP CER 0.1UF 16V X7R 0402</t>
  </si>
  <si>
    <t>CAP CER 4.7UF 16V X5R 0402</t>
  </si>
  <si>
    <t>CAP CER 10UF 10V X5R 0402</t>
  </si>
  <si>
    <t>CAP CER 0.68UF 10V X5R 0402</t>
  </si>
  <si>
    <t>DIODE SCHOTTKY 40V 1A SOD123</t>
  </si>
  <si>
    <t>Connector Header Surface Mount, Right Angle 2 position 0.039 _1.00mm_</t>
  </si>
  <si>
    <t>4 Position FFC, FPC Connector Contacts, Top and Bottom 0.039" (1.00mm) Surface Mount, Right Angle</t>
  </si>
  <si>
    <t>CONN HEADER VERT 3POS 2.54MM</t>
  </si>
  <si>
    <t>FIXED IND 4.7UH 1.6A 157MOHM SMD</t>
  </si>
  <si>
    <t>2.34A 1.5uH Shielded Power Inductors ±20% SMD Power Inductors ROHS</t>
  </si>
  <si>
    <t>LED GREEN CLEAR CHIP SMD</t>
  </si>
  <si>
    <t>30V 5.8A 32mΩ@10V,5.8A 1.4W 1.4V@250uA N Channel SOT-23 MOSFETs ROHS</t>
  </si>
  <si>
    <t>TRANS NPN 40V 0.2A SOT523</t>
  </si>
  <si>
    <t>10 kOhms ±1% 0.063W, 1/16W Chip Resistor 0402 (1005 Metric) Moisture Resistant Thick Film, RES 10K OHM 1% 1/16W 0402, RES SMD 10K OHM 0.1% 1/16W 0402</t>
  </si>
  <si>
    <t>4.7 kOhms ±1% 0.063W, 1/16W Chip Resistor 0402 (1005 Metric) Moisture Resistant Thick Film</t>
  </si>
  <si>
    <t>RES 470 OHM 1% 1/16W 0402</t>
  </si>
  <si>
    <t>100 Ohms ±1% 0.063W, 1/16W Chip Resistor 0402 (1005 Metric) Moisture Resistant Thick Film</t>
  </si>
  <si>
    <t>RES 0.2 OHM 1% 1W 1206</t>
  </si>
  <si>
    <t>1 kOhms ±1% 0.063W, 1/16W Chip Resistor 0402 (1005 Metric) Moisture Resistant Thick Film, RES 1K OHM 1% 1/16W 0402</t>
  </si>
  <si>
    <t>RES 5.6 OHM 1% 1/4W 1206</t>
  </si>
  <si>
    <t>RES SMD 10K OHM 0.1% 1/16W 0402</t>
  </si>
  <si>
    <t>RES 4.7K OHM 1% 1/20W 0201</t>
  </si>
  <si>
    <t>No Gull Wing 50mA 100MΩ 80000 260gf@±50gf 12V -25℃~+85℃ 1.7mm Golden Round Button Brick nogging SPST SMD Tactile Switches ROHS</t>
  </si>
  <si>
    <t>4.5V~5.5V 锂离子/Polymer 1 600mA SOT-23-5 Battery Management ICs ROHS</t>
  </si>
  <si>
    <t>IC PB ON/OFF CONTROLLER TSOT23-8</t>
  </si>
  <si>
    <t>AVR tinyAVR™ 1, Functional Safety (FuSa) Microcontroller IC 8-Bit 20MHz 16KB (16K x 8) FLASH 20-VQFN (3x3)</t>
  </si>
  <si>
    <t>IC LED DRV RGLTR PWM 1.2A SC70-5</t>
  </si>
  <si>
    <t>IC BATT MON LI-ION 1CELL 8TDFN</t>
  </si>
  <si>
    <t>IC REG BUCK BST 3.3V 0.9A 10SON</t>
  </si>
  <si>
    <t>OPTOISOLATOR 3.75KV TRANS 4-SOP</t>
  </si>
  <si>
    <t>Footprint</t>
  </si>
  <si>
    <t>Cap-0402</t>
  </si>
  <si>
    <t>SOD-123</t>
  </si>
  <si>
    <t>SM02B-SRSS-TB(LF)(SN)</t>
  </si>
  <si>
    <t>XF3M(1)-0415-1B</t>
  </si>
  <si>
    <t>3 Pin POGO</t>
  </si>
  <si>
    <t>IND-1210_</t>
  </si>
  <si>
    <t>LVT303012-1R5M-N</t>
  </si>
  <si>
    <t>LED-0402</t>
  </si>
  <si>
    <t>SOT-23</t>
  </si>
  <si>
    <t>SOT-523</t>
  </si>
  <si>
    <t>Res-0402</t>
  </si>
  <si>
    <t>Res-1206</t>
  </si>
  <si>
    <t>Res-0201</t>
  </si>
  <si>
    <t>TC-0522C-1.7-260G_</t>
  </si>
  <si>
    <t>SOT-23-5</t>
  </si>
  <si>
    <t>TSOT-23-8</t>
  </si>
  <si>
    <t>20-VQFN (3x3)</t>
  </si>
  <si>
    <t>SC70-5</t>
  </si>
  <si>
    <t>8-TDFN-EP (2x2)</t>
  </si>
  <si>
    <t>SON-10-EP(2.5x2.5)</t>
  </si>
  <si>
    <t>SOP-4-1.27mm pitch Body 2.6mm</t>
  </si>
  <si>
    <t>Manufacturer Part Number</t>
  </si>
  <si>
    <t>GRM033R60J105MEA2D, CC0402KRX5R7BB105, GRM155R61E105KA12D</t>
  </si>
  <si>
    <t>GRM155R71C104KA88J, GRM155R71C104KA88D</t>
  </si>
  <si>
    <t>CL05A475MO5NUNC</t>
  </si>
  <si>
    <t>CL05A106MP5NUNC</t>
  </si>
  <si>
    <t>CC0402KRX5R6BB684</t>
  </si>
  <si>
    <t>1N5819HW-7-F</t>
  </si>
  <si>
    <t>SM02B-SRSS-TB_LF__SN_</t>
  </si>
  <si>
    <t>68000-103HLF</t>
  </si>
  <si>
    <t>DFE322512F-4R7M=P2</t>
  </si>
  <si>
    <t>XZVG68W-2</t>
  </si>
  <si>
    <t>AO3400A</t>
  </si>
  <si>
    <t>MMBT3904T-7-F</t>
  </si>
  <si>
    <t>RC0402FR-0710KL, RT0402BRD0710KL</t>
  </si>
  <si>
    <t>RC0402FR-074K7L</t>
  </si>
  <si>
    <t>RC0402FR-07470RL</t>
  </si>
  <si>
    <t>RC0402FR-07100RL</t>
  </si>
  <si>
    <t>PE1206FRF470R2L</t>
  </si>
  <si>
    <t>RC0402FR-071KL</t>
  </si>
  <si>
    <t>RC1206FR-075R6L</t>
  </si>
  <si>
    <t>RT0402BRD0710KL</t>
  </si>
  <si>
    <t>RC0201FR-074K7L</t>
  </si>
  <si>
    <t>TC-0522C-1.7-260G</t>
  </si>
  <si>
    <t>TP4054</t>
  </si>
  <si>
    <t>LTC2950CTS8-1#TRPBF</t>
  </si>
  <si>
    <t>ATTINY1616-MNR</t>
  </si>
  <si>
    <t>TPS92360DCKR</t>
  </si>
  <si>
    <t>MAX17048G+T10</t>
  </si>
  <si>
    <t>TPS63031DSKR</t>
  </si>
  <si>
    <t>TCMT1107</t>
  </si>
  <si>
    <t>Manufacturer</t>
  </si>
  <si>
    <t>Murata Electronics, Yageo, Murata</t>
  </si>
  <si>
    <t>Murata Electronics, Murata</t>
  </si>
  <si>
    <t>Samsung</t>
  </si>
  <si>
    <t>Yageo</t>
  </si>
  <si>
    <t>Diodes</t>
  </si>
  <si>
    <t>JST Sales</t>
  </si>
  <si>
    <t>Omron Electronics Inc-EMC Div</t>
  </si>
  <si>
    <t>Murata</t>
  </si>
  <si>
    <t>Chilisin Elec</t>
  </si>
  <si>
    <t>SunLED</t>
  </si>
  <si>
    <t>BORN</t>
  </si>
  <si>
    <t>Diodes Zetex</t>
  </si>
  <si>
    <t>YAGEO</t>
  </si>
  <si>
    <t>HCTL</t>
  </si>
  <si>
    <t>TPOWER</t>
  </si>
  <si>
    <t>Analog Devices / Linear Technology</t>
  </si>
  <si>
    <t>Microchip Tech</t>
  </si>
  <si>
    <t>Texas Instruments</t>
  </si>
  <si>
    <t>Maxim</t>
  </si>
  <si>
    <t>Vishay Semiconductors</t>
  </si>
  <si>
    <t>Comment</t>
  </si>
  <si>
    <t>1uF</t>
  </si>
  <si>
    <t>0.1uF</t>
  </si>
  <si>
    <t>4.7uF</t>
  </si>
  <si>
    <t>10uF</t>
  </si>
  <si>
    <t>680nF</t>
  </si>
  <si>
    <t>4.7uH</t>
  </si>
  <si>
    <t>1.5uH</t>
  </si>
  <si>
    <t>10K</t>
  </si>
  <si>
    <t>4.7K</t>
  </si>
  <si>
    <t>470R</t>
  </si>
  <si>
    <t>100R</t>
  </si>
  <si>
    <t>200mR</t>
  </si>
  <si>
    <t>1K</t>
  </si>
  <si>
    <t>5.6Ω</t>
  </si>
  <si>
    <t>NC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</si>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</sst>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3"/>
  <sheetViews>
    <sheetView tabSelected="1" workbookViewId="0">
      <selection activeCell="K2" sqref="K1:K1048576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16</v>
      </c>
      <c r="E2" s="6" t="s">
        <v>48</v>
      </c>
      <c r="F2" s="5" t="s">
        <v>80</v>
      </c>
      <c r="G2" s="6" t="s">
        <v>102</v>
      </c>
      <c r="H2" s="5" t="s">
        <v>132</v>
      </c>
      <c r="I2" s="6" t="s">
        <v>153</v>
      </c>
      <c r="J2" s="5" t="s">
        <v>169</v>
      </c>
    </row>
    <row r="3" spans="1:10" ht="48.75" thickBot="1" x14ac:dyDescent="0.3">
      <c r="A3" s="1"/>
      <c r="B3" s="11">
        <f>ROW(B3) - ROW($B$2)</f>
        <v>1</v>
      </c>
      <c r="C3" s="12" t="s">
        <v>2</v>
      </c>
      <c r="D3" s="7" t="s">
        <v>17</v>
      </c>
      <c r="E3" s="8" t="s">
        <v>49</v>
      </c>
      <c r="F3" s="7" t="s">
        <v>81</v>
      </c>
      <c r="G3" s="8" t="s">
        <v>103</v>
      </c>
      <c r="H3" s="7" t="s">
        <v>133</v>
      </c>
      <c r="I3" s="8" t="s">
        <v>154</v>
      </c>
      <c r="J3" s="7">
        <v>3</v>
      </c>
    </row>
    <row r="4" spans="1:10" ht="36.75" thickBot="1" x14ac:dyDescent="0.3">
      <c r="A4" s="1"/>
      <c r="B4" s="11">
        <f t="shared" ref="B4:B32" si="0">ROW(B4) - ROW($B$2)</f>
        <v>2</v>
      </c>
      <c r="C4" s="13" t="s">
        <v>3</v>
      </c>
      <c r="D4" s="9" t="s">
        <v>18</v>
      </c>
      <c r="E4" s="10" t="s">
        <v>50</v>
      </c>
      <c r="F4" s="9" t="s">
        <v>81</v>
      </c>
      <c r="G4" s="10" t="s">
        <v>104</v>
      </c>
      <c r="H4" s="9" t="s">
        <v>134</v>
      </c>
      <c r="I4" s="10" t="s">
        <v>155</v>
      </c>
      <c r="J4" s="9">
        <v>2</v>
      </c>
    </row>
    <row r="5" spans="1:10" ht="15.75" thickBot="1" x14ac:dyDescent="0.3">
      <c r="A5" s="1"/>
      <c r="B5" s="11">
        <f>ROW(B5) - ROW($B$2)</f>
        <v>3</v>
      </c>
      <c r="C5" s="12"/>
      <c r="D5" s="7" t="s">
        <v>19</v>
      </c>
      <c r="E5" s="8" t="s">
        <v>51</v>
      </c>
      <c r="F5" s="7" t="s">
        <v>81</v>
      </c>
      <c r="G5" s="8" t="s">
        <v>105</v>
      </c>
      <c r="H5" s="7" t="s">
        <v>135</v>
      </c>
      <c r="I5" s="8" t="s">
        <v>156</v>
      </c>
      <c r="J5" s="7">
        <v>2</v>
      </c>
    </row>
    <row r="6" spans="1:10" ht="15.75" thickBot="1" x14ac:dyDescent="0.3">
      <c r="A6" s="1"/>
      <c r="B6" s="11">
        <f t="shared" si="0"/>
        <v>4</v>
      </c>
      <c r="C6" s="13" t="s">
        <v>3</v>
      </c>
      <c r="D6" s="9" t="s">
        <v>20</v>
      </c>
      <c r="E6" s="10" t="s">
        <v>52</v>
      </c>
      <c r="F6" s="9" t="s">
        <v>81</v>
      </c>
      <c r="G6" s="10" t="s">
        <v>106</v>
      </c>
      <c r="H6" s="9" t="s">
        <v>135</v>
      </c>
      <c r="I6" s="10" t="s">
        <v>157</v>
      </c>
      <c r="J6" s="9">
        <v>4</v>
      </c>
    </row>
    <row r="7" spans="1:10" ht="15.75" thickBot="1" x14ac:dyDescent="0.3">
      <c r="A7" s="1"/>
      <c r="B7" s="11">
        <f>ROW(B7) - ROW($B$2)</f>
        <v>5</v>
      </c>
      <c r="C7" s="12" t="s">
        <v>3</v>
      </c>
      <c r="D7" s="7" t="s">
        <v>21</v>
      </c>
      <c r="E7" s="8" t="s">
        <v>53</v>
      </c>
      <c r="F7" s="7" t="s">
        <v>81</v>
      </c>
      <c r="G7" s="8" t="s">
        <v>107</v>
      </c>
      <c r="H7" s="7" t="s">
        <v>136</v>
      </c>
      <c r="I7" s="8" t="s">
        <v>158</v>
      </c>
      <c r="J7" s="7">
        <v>2</v>
      </c>
    </row>
    <row r="8" spans="1:10" ht="15.75" thickBot="1" x14ac:dyDescent="0.3">
      <c r="A8" s="1"/>
      <c r="B8" s="11">
        <f t="shared" si="0"/>
        <v>6</v>
      </c>
      <c r="C8" s="13" t="s">
        <v>4</v>
      </c>
      <c r="D8" s="9" t="s">
        <v>22</v>
      </c>
      <c r="E8" s="10" t="s">
        <v>54</v>
      </c>
      <c r="F8" s="9" t="s">
        <v>82</v>
      </c>
      <c r="G8" s="10" t="s">
        <v>108</v>
      </c>
      <c r="H8" s="9" t="s">
        <v>137</v>
      </c>
      <c r="I8" s="10" t="s">
        <v>108</v>
      </c>
      <c r="J8" s="9">
        <v>1</v>
      </c>
    </row>
    <row r="9" spans="1:10" ht="36.75" thickBot="1" x14ac:dyDescent="0.3">
      <c r="A9" s="1"/>
      <c r="B9" s="11">
        <f>ROW(B9) - ROW($B$2)</f>
        <v>7</v>
      </c>
      <c r="C9" s="12"/>
      <c r="D9" s="7" t="s">
        <v>23</v>
      </c>
      <c r="E9" s="8" t="s">
        <v>55</v>
      </c>
      <c r="F9" s="7" t="s">
        <v>83</v>
      </c>
      <c r="G9" s="8" t="s">
        <v>109</v>
      </c>
      <c r="H9" s="7" t="s">
        <v>138</v>
      </c>
      <c r="I9" s="8" t="s">
        <v>83</v>
      </c>
      <c r="J9" s="7">
        <v>1</v>
      </c>
    </row>
    <row r="10" spans="1:10" ht="36.75" thickBot="1" x14ac:dyDescent="0.3">
      <c r="A10" s="1"/>
      <c r="B10" s="11">
        <f t="shared" si="0"/>
        <v>8</v>
      </c>
      <c r="C10" s="13" t="s">
        <v>5</v>
      </c>
      <c r="D10" s="9" t="s">
        <v>24</v>
      </c>
      <c r="E10" s="10" t="s">
        <v>56</v>
      </c>
      <c r="F10" s="9" t="s">
        <v>84</v>
      </c>
      <c r="G10" s="10" t="s">
        <v>84</v>
      </c>
      <c r="H10" s="9" t="s">
        <v>139</v>
      </c>
      <c r="I10" s="10" t="s">
        <v>84</v>
      </c>
      <c r="J10" s="9">
        <v>1</v>
      </c>
    </row>
    <row r="11" spans="1:10" ht="15.75" thickBot="1" x14ac:dyDescent="0.3">
      <c r="A11" s="1"/>
      <c r="B11" s="11">
        <f>ROW(B11) - ROW($B$2)</f>
        <v>9</v>
      </c>
      <c r="C11" s="12" t="s">
        <v>6</v>
      </c>
      <c r="D11" s="7" t="s">
        <v>25</v>
      </c>
      <c r="E11" s="8" t="s">
        <v>57</v>
      </c>
      <c r="F11" s="7" t="s">
        <v>85</v>
      </c>
      <c r="G11" s="8" t="s">
        <v>110</v>
      </c>
      <c r="H11" s="7"/>
      <c r="I11" s="8" t="s">
        <v>85</v>
      </c>
      <c r="J11" s="7">
        <v>1</v>
      </c>
    </row>
    <row r="12" spans="1:10" ht="15.75" thickBot="1" x14ac:dyDescent="0.3">
      <c r="A12" s="1"/>
      <c r="B12" s="11">
        <f t="shared" si="0"/>
        <v>10</v>
      </c>
      <c r="C12" s="13" t="s">
        <v>7</v>
      </c>
      <c r="D12" s="9" t="s">
        <v>26</v>
      </c>
      <c r="E12" s="10" t="s">
        <v>58</v>
      </c>
      <c r="F12" s="9" t="s">
        <v>86</v>
      </c>
      <c r="G12" s="10" t="s">
        <v>111</v>
      </c>
      <c r="H12" s="9" t="s">
        <v>140</v>
      </c>
      <c r="I12" s="10" t="s">
        <v>159</v>
      </c>
      <c r="J12" s="9">
        <v>1</v>
      </c>
    </row>
    <row r="13" spans="1:10" ht="36.75" thickBot="1" x14ac:dyDescent="0.3">
      <c r="A13" s="1"/>
      <c r="B13" s="11">
        <f>ROW(B13) - ROW($B$2)</f>
        <v>11</v>
      </c>
      <c r="C13" s="12" t="s">
        <v>7</v>
      </c>
      <c r="D13" s="7" t="s">
        <v>27</v>
      </c>
      <c r="E13" s="8" t="s">
        <v>59</v>
      </c>
      <c r="F13" s="7" t="s">
        <v>87</v>
      </c>
      <c r="G13" s="8" t="s">
        <v>87</v>
      </c>
      <c r="H13" s="7" t="s">
        <v>141</v>
      </c>
      <c r="I13" s="8" t="s">
        <v>160</v>
      </c>
      <c r="J13" s="7">
        <v>1</v>
      </c>
    </row>
    <row r="14" spans="1:10" ht="15.75" thickBot="1" x14ac:dyDescent="0.3">
      <c r="A14" s="1"/>
      <c r="B14" s="11">
        <f t="shared" si="0"/>
        <v>12</v>
      </c>
      <c r="C14" s="13" t="s">
        <v>8</v>
      </c>
      <c r="D14" s="9" t="s">
        <v>28</v>
      </c>
      <c r="E14" s="10" t="s">
        <v>60</v>
      </c>
      <c r="F14" s="9" t="s">
        <v>88</v>
      </c>
      <c r="G14" s="10" t="s">
        <v>112</v>
      </c>
      <c r="H14" s="9" t="s">
        <v>142</v>
      </c>
      <c r="I14" s="10" t="s">
        <v>112</v>
      </c>
      <c r="J14" s="9">
        <v>3</v>
      </c>
    </row>
    <row r="15" spans="1:10" ht="36.75" thickBot="1" x14ac:dyDescent="0.3">
      <c r="A15" s="1"/>
      <c r="B15" s="11">
        <f>ROW(B15) - ROW($B$2)</f>
        <v>13</v>
      </c>
      <c r="C15" s="12" t="s">
        <v>9</v>
      </c>
      <c r="D15" s="7" t="s">
        <v>29</v>
      </c>
      <c r="E15" s="8" t="s">
        <v>61</v>
      </c>
      <c r="F15" s="7" t="s">
        <v>89</v>
      </c>
      <c r="G15" s="8" t="s">
        <v>113</v>
      </c>
      <c r="H15" s="7" t="s">
        <v>143</v>
      </c>
      <c r="I15" s="8" t="s">
        <v>113</v>
      </c>
      <c r="J15" s="7">
        <v>1</v>
      </c>
    </row>
    <row r="16" spans="1:10" ht="15.75" thickBot="1" x14ac:dyDescent="0.3">
      <c r="A16" s="1"/>
      <c r="B16" s="11">
        <f t="shared" si="0"/>
        <v>14</v>
      </c>
      <c r="C16" s="13" t="s">
        <v>10</v>
      </c>
      <c r="D16" s="9" t="s">
        <v>30</v>
      </c>
      <c r="E16" s="10" t="s">
        <v>62</v>
      </c>
      <c r="F16" s="9" t="s">
        <v>90</v>
      </c>
      <c r="G16" s="10" t="s">
        <v>114</v>
      </c>
      <c r="H16" s="9" t="s">
        <v>144</v>
      </c>
      <c r="I16" s="10" t="s">
        <v>114</v>
      </c>
      <c r="J16" s="9">
        <v>1</v>
      </c>
    </row>
    <row r="17" spans="1:10" ht="60.75" thickBot="1" x14ac:dyDescent="0.3">
      <c r="A17" s="1"/>
      <c r="B17" s="11">
        <f>ROW(B17) - ROW($B$2)</f>
        <v>15</v>
      </c>
      <c r="C17" s="12" t="s">
        <v>11</v>
      </c>
      <c r="D17" s="7" t="s">
        <v>31</v>
      </c>
      <c r="E17" s="8" t="s">
        <v>63</v>
      </c>
      <c r="F17" s="7" t="s">
        <v>91</v>
      </c>
      <c r="G17" s="8" t="s">
        <v>115</v>
      </c>
      <c r="H17" s="7" t="s">
        <v>145</v>
      </c>
      <c r="I17" s="8" t="s">
        <v>161</v>
      </c>
      <c r="J17" s="7">
        <v>10</v>
      </c>
    </row>
    <row r="18" spans="1:10" ht="36.75" thickBot="1" x14ac:dyDescent="0.3">
      <c r="A18" s="1"/>
      <c r="B18" s="11">
        <f t="shared" si="0"/>
        <v>16</v>
      </c>
      <c r="C18" s="13" t="s">
        <v>11</v>
      </c>
      <c r="D18" s="9" t="s">
        <v>32</v>
      </c>
      <c r="E18" s="10" t="s">
        <v>64</v>
      </c>
      <c r="F18" s="9" t="s">
        <v>91</v>
      </c>
      <c r="G18" s="10" t="s">
        <v>116</v>
      </c>
      <c r="H18" s="9" t="s">
        <v>145</v>
      </c>
      <c r="I18" s="10" t="s">
        <v>162</v>
      </c>
      <c r="J18" s="9">
        <v>1</v>
      </c>
    </row>
    <row r="19" spans="1:10" ht="15.75" thickBot="1" x14ac:dyDescent="0.3">
      <c r="A19" s="1"/>
      <c r="B19" s="11">
        <f>ROW(B19) - ROW($B$2)</f>
        <v>17</v>
      </c>
      <c r="C19" s="12" t="s">
        <v>11</v>
      </c>
      <c r="D19" s="7" t="s">
        <v>33</v>
      </c>
      <c r="E19" s="8" t="s">
        <v>65</v>
      </c>
      <c r="F19" s="7" t="s">
        <v>91</v>
      </c>
      <c r="G19" s="8" t="s">
        <v>117</v>
      </c>
      <c r="H19" s="7" t="s">
        <v>136</v>
      </c>
      <c r="I19" s="8" t="s">
        <v>163</v>
      </c>
      <c r="J19" s="7">
        <v>1</v>
      </c>
    </row>
    <row r="20" spans="1:10" ht="36.75" thickBot="1" x14ac:dyDescent="0.3">
      <c r="A20" s="1"/>
      <c r="B20" s="11">
        <f t="shared" si="0"/>
        <v>18</v>
      </c>
      <c r="C20" s="13" t="s">
        <v>11</v>
      </c>
      <c r="D20" s="9" t="s">
        <v>34</v>
      </c>
      <c r="E20" s="10" t="s">
        <v>66</v>
      </c>
      <c r="F20" s="9" t="s">
        <v>91</v>
      </c>
      <c r="G20" s="10" t="s">
        <v>118</v>
      </c>
      <c r="H20" s="9" t="s">
        <v>145</v>
      </c>
      <c r="I20" s="10" t="s">
        <v>164</v>
      </c>
      <c r="J20" s="9">
        <v>3</v>
      </c>
    </row>
    <row r="21" spans="1:10" ht="15.75" thickBot="1" x14ac:dyDescent="0.3">
      <c r="A21" s="1"/>
      <c r="B21" s="11">
        <f>ROW(B21) - ROW($B$2)</f>
        <v>19</v>
      </c>
      <c r="C21" s="12" t="s">
        <v>12</v>
      </c>
      <c r="D21" s="7" t="s">
        <v>35</v>
      </c>
      <c r="E21" s="8" t="s">
        <v>67</v>
      </c>
      <c r="F21" s="7" t="s">
        <v>92</v>
      </c>
      <c r="G21" s="8" t="s">
        <v>119</v>
      </c>
      <c r="H21" s="7" t="s">
        <v>136</v>
      </c>
      <c r="I21" s="8" t="s">
        <v>165</v>
      </c>
      <c r="J21" s="7">
        <v>1</v>
      </c>
    </row>
    <row r="22" spans="1:10" ht="48.75" thickBot="1" x14ac:dyDescent="0.3">
      <c r="A22" s="1"/>
      <c r="B22" s="11">
        <f t="shared" si="0"/>
        <v>20</v>
      </c>
      <c r="C22" s="13" t="s">
        <v>11</v>
      </c>
      <c r="D22" s="9" t="s">
        <v>36</v>
      </c>
      <c r="E22" s="10" t="s">
        <v>68</v>
      </c>
      <c r="F22" s="9" t="s">
        <v>91</v>
      </c>
      <c r="G22" s="10" t="s">
        <v>120</v>
      </c>
      <c r="H22" s="9" t="s">
        <v>145</v>
      </c>
      <c r="I22" s="10" t="s">
        <v>166</v>
      </c>
      <c r="J22" s="9">
        <v>2</v>
      </c>
    </row>
    <row r="23" spans="1:10" ht="15.75" thickBot="1" x14ac:dyDescent="0.3">
      <c r="A23" s="1"/>
      <c r="B23" s="11">
        <f>ROW(B23) - ROW($B$2)</f>
        <v>21</v>
      </c>
      <c r="C23" s="12" t="s">
        <v>11</v>
      </c>
      <c r="D23" s="7" t="s">
        <v>37</v>
      </c>
      <c r="E23" s="8" t="s">
        <v>69</v>
      </c>
      <c r="F23" s="7" t="s">
        <v>92</v>
      </c>
      <c r="G23" s="8" t="s">
        <v>121</v>
      </c>
      <c r="H23" s="7" t="s">
        <v>136</v>
      </c>
      <c r="I23" s="8" t="s">
        <v>167</v>
      </c>
      <c r="J23" s="7">
        <v>1</v>
      </c>
    </row>
    <row r="24" spans="1:10" ht="15.75" thickBot="1" x14ac:dyDescent="0.3">
      <c r="A24" s="1"/>
      <c r="B24" s="11">
        <f t="shared" si="0"/>
        <v>22</v>
      </c>
      <c r="C24" s="13" t="s">
        <v>11</v>
      </c>
      <c r="D24" s="9" t="s">
        <v>38</v>
      </c>
      <c r="E24" s="10" t="s">
        <v>70</v>
      </c>
      <c r="F24" s="9" t="s">
        <v>91</v>
      </c>
      <c r="G24" s="10" t="s">
        <v>122</v>
      </c>
      <c r="H24" s="9" t="s">
        <v>136</v>
      </c>
      <c r="I24" s="10" t="s">
        <v>168</v>
      </c>
      <c r="J24" s="9">
        <v>1</v>
      </c>
    </row>
    <row r="25" spans="1:10" ht="15.75" thickBot="1" x14ac:dyDescent="0.3">
      <c r="A25" s="1"/>
      <c r="B25" s="11">
        <f>ROW(B25) - ROW($B$2)</f>
        <v>23</v>
      </c>
      <c r="C25" s="12" t="s">
        <v>11</v>
      </c>
      <c r="D25" s="7" t="s">
        <v>39</v>
      </c>
      <c r="E25" s="8" t="s">
        <v>71</v>
      </c>
      <c r="F25" s="7" t="s">
        <v>93</v>
      </c>
      <c r="G25" s="8" t="s">
        <v>123</v>
      </c>
      <c r="H25" s="7" t="s">
        <v>136</v>
      </c>
      <c r="I25" s="8" t="s">
        <v>162</v>
      </c>
      <c r="J25" s="7">
        <v>2</v>
      </c>
    </row>
    <row r="26" spans="1:10" ht="48.75" thickBot="1" x14ac:dyDescent="0.3">
      <c r="A26" s="1"/>
      <c r="B26" s="11">
        <f t="shared" si="0"/>
        <v>24</v>
      </c>
      <c r="C26" s="13" t="s">
        <v>13</v>
      </c>
      <c r="D26" s="9" t="s">
        <v>40</v>
      </c>
      <c r="E26" s="10" t="s">
        <v>72</v>
      </c>
      <c r="F26" s="9" t="s">
        <v>94</v>
      </c>
      <c r="G26" s="10" t="s">
        <v>124</v>
      </c>
      <c r="H26" s="9" t="s">
        <v>146</v>
      </c>
      <c r="I26" s="10" t="s">
        <v>124</v>
      </c>
      <c r="J26" s="9">
        <v>1</v>
      </c>
    </row>
    <row r="27" spans="1:10" ht="36.75" thickBot="1" x14ac:dyDescent="0.3">
      <c r="A27" s="1"/>
      <c r="B27" s="11">
        <f>ROW(B27) - ROW($B$2)</f>
        <v>25</v>
      </c>
      <c r="C27" s="12" t="s">
        <v>14</v>
      </c>
      <c r="D27" s="7" t="s">
        <v>41</v>
      </c>
      <c r="E27" s="8" t="s">
        <v>73</v>
      </c>
      <c r="F27" s="7" t="s">
        <v>95</v>
      </c>
      <c r="G27" s="8" t="s">
        <v>125</v>
      </c>
      <c r="H27" s="7" t="s">
        <v>147</v>
      </c>
      <c r="I27" s="8" t="s">
        <v>125</v>
      </c>
      <c r="J27" s="7">
        <v>1</v>
      </c>
    </row>
    <row r="28" spans="1:10" ht="24.75" thickBot="1" x14ac:dyDescent="0.3">
      <c r="A28" s="1"/>
      <c r="B28" s="11">
        <f t="shared" si="0"/>
        <v>26</v>
      </c>
      <c r="C28" s="13" t="s">
        <v>14</v>
      </c>
      <c r="D28" s="9" t="s">
        <v>42</v>
      </c>
      <c r="E28" s="10" t="s">
        <v>74</v>
      </c>
      <c r="F28" s="9" t="s">
        <v>96</v>
      </c>
      <c r="G28" s="10" t="s">
        <v>126</v>
      </c>
      <c r="H28" s="9" t="s">
        <v>148</v>
      </c>
      <c r="I28" s="10" t="s">
        <v>126</v>
      </c>
      <c r="J28" s="9">
        <v>1</v>
      </c>
    </row>
    <row r="29" spans="1:10" ht="48.75" thickBot="1" x14ac:dyDescent="0.3">
      <c r="A29" s="1"/>
      <c r="B29" s="11">
        <f>ROW(B29) - ROW($B$2)</f>
        <v>27</v>
      </c>
      <c r="C29" s="12" t="s">
        <v>14</v>
      </c>
      <c r="D29" s="7" t="s">
        <v>43</v>
      </c>
      <c r="E29" s="8" t="s">
        <v>75</v>
      </c>
      <c r="F29" s="7" t="s">
        <v>97</v>
      </c>
      <c r="G29" s="8" t="s">
        <v>127</v>
      </c>
      <c r="H29" s="7" t="s">
        <v>149</v>
      </c>
      <c r="I29" s="8" t="s">
        <v>127</v>
      </c>
      <c r="J29" s="7">
        <v>1</v>
      </c>
    </row>
    <row r="30" spans="1:10" ht="15.75" thickBot="1" x14ac:dyDescent="0.3">
      <c r="A30" s="1"/>
      <c r="B30" s="11">
        <f t="shared" si="0"/>
        <v>28</v>
      </c>
      <c r="C30" s="13" t="s">
        <v>14</v>
      </c>
      <c r="D30" s="9" t="s">
        <v>44</v>
      </c>
      <c r="E30" s="10" t="s">
        <v>76</v>
      </c>
      <c r="F30" s="9" t="s">
        <v>98</v>
      </c>
      <c r="G30" s="10" t="s">
        <v>128</v>
      </c>
      <c r="H30" s="9" t="s">
        <v>150</v>
      </c>
      <c r="I30" s="10" t="s">
        <v>128</v>
      </c>
      <c r="J30" s="9">
        <v>1</v>
      </c>
    </row>
    <row r="31" spans="1:10" ht="15.75" thickBot="1" x14ac:dyDescent="0.3">
      <c r="A31" s="1"/>
      <c r="B31" s="11">
        <f>ROW(B31) - ROW($B$2)</f>
        <v>29</v>
      </c>
      <c r="C31" s="12" t="s">
        <v>14</v>
      </c>
      <c r="D31" s="7" t="s">
        <v>45</v>
      </c>
      <c r="E31" s="8" t="s">
        <v>77</v>
      </c>
      <c r="F31" s="7" t="s">
        <v>99</v>
      </c>
      <c r="G31" s="8" t="s">
        <v>129</v>
      </c>
      <c r="H31" s="7" t="s">
        <v>151</v>
      </c>
      <c r="I31" s="8" t="s">
        <v>129</v>
      </c>
      <c r="J31" s="7">
        <v>1</v>
      </c>
    </row>
    <row r="32" spans="1:10" ht="15.75" thickBot="1" x14ac:dyDescent="0.3">
      <c r="A32" s="1"/>
      <c r="B32" s="11">
        <f t="shared" si="0"/>
        <v>30</v>
      </c>
      <c r="C32" s="13" t="s">
        <v>14</v>
      </c>
      <c r="D32" s="9" t="s">
        <v>46</v>
      </c>
      <c r="E32" s="10" t="s">
        <v>78</v>
      </c>
      <c r="F32" s="9" t="s">
        <v>100</v>
      </c>
      <c r="G32" s="10" t="s">
        <v>130</v>
      </c>
      <c r="H32" s="9" t="s">
        <v>150</v>
      </c>
      <c r="I32" s="10" t="s">
        <v>130</v>
      </c>
      <c r="J32" s="9">
        <v>1</v>
      </c>
    </row>
    <row r="33" spans="1:10" ht="15.75" thickBot="1" x14ac:dyDescent="0.3">
      <c r="A33" s="1"/>
      <c r="B33" s="11">
        <f>ROW(B33) - ROW($B$2)</f>
        <v>31</v>
      </c>
      <c r="C33" s="12" t="s">
        <v>15</v>
      </c>
      <c r="D33" s="7" t="s">
        <v>47</v>
      </c>
      <c r="E33" s="8" t="s">
        <v>79</v>
      </c>
      <c r="F33" s="7" t="s">
        <v>101</v>
      </c>
      <c r="G33" s="8" t="s">
        <v>131</v>
      </c>
      <c r="H33" s="7" t="s">
        <v>152</v>
      </c>
      <c r="I33" s="8" t="s">
        <v>131</v>
      </c>
      <c r="J33" s="7">
        <v>1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2024-09-13T08:19:50Z</dcterms:modified>
</cp:coreProperties>
</file>