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E:\Mars\Projects\Button-Board_v1.0\Design Files\Project Outputs for Button-Board_v1.0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26" i="1" l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<sst xmlns="http://schemas.openxmlformats.org/spreadsheetml/2006/main" count="177" uniqueCount="132">
  <si>
    <t>#</t>
  </si>
  <si>
    <t>Item Type</t>
  </si>
  <si>
    <t>Capacitor</t>
  </si>
  <si>
    <t>Diode</t>
  </si>
  <si>
    <t>FPC-1mm</t>
  </si>
  <si>
    <t>Inductor</t>
  </si>
  <si>
    <t>LED</t>
  </si>
  <si>
    <t>Mosfet</t>
  </si>
  <si>
    <t>Resistor</t>
  </si>
  <si>
    <t>BATTERY CHARGER</t>
  </si>
  <si>
    <t>IC</t>
  </si>
  <si>
    <t>Designator</t>
  </si>
  <si>
    <t>C1, C3, C4, C5, C8</t>
  </si>
  <si>
    <t>C2, C6</t>
  </si>
  <si>
    <t>C7</t>
  </si>
  <si>
    <t>D1</t>
  </si>
  <si>
    <t>J1, J3</t>
  </si>
  <si>
    <t>J2</t>
  </si>
  <si>
    <t>J4</t>
  </si>
  <si>
    <t>L1</t>
  </si>
  <si>
    <t>LED3, LED4, LED5</t>
  </si>
  <si>
    <t>Q1</t>
  </si>
  <si>
    <t>R2, R5</t>
  </si>
  <si>
    <t>R4</t>
  </si>
  <si>
    <t>R6</t>
  </si>
  <si>
    <t>R7, R9, R12</t>
  </si>
  <si>
    <t>R8, R14, R15</t>
  </si>
  <si>
    <t>R10</t>
  </si>
  <si>
    <t>R11</t>
  </si>
  <si>
    <t>R13</t>
  </si>
  <si>
    <t>R16</t>
  </si>
  <si>
    <t>SW1</t>
  </si>
  <si>
    <t>U1</t>
  </si>
  <si>
    <t>U2</t>
  </si>
  <si>
    <t>U3</t>
  </si>
  <si>
    <t>U4</t>
  </si>
  <si>
    <t>Description</t>
  </si>
  <si>
    <t>1 µF ±20% 6.3V Ceramic Capacitor X5R 0201 (0603 Metric), 1 µF ±10% 25V Ceramic Capacitor X5R 0402 (1005 Metric)</t>
  </si>
  <si>
    <t>0.1 µF ±10% 16V Ceramic Capacitor X7R 0402 (1005 Metric)</t>
  </si>
  <si>
    <t>0.22 µF ±10% 25V Ceramic Capacitor X5R 0402 (1005 Metric)</t>
  </si>
  <si>
    <t>DIODE ZENER 3.3V 200MW SOD323F</t>
  </si>
  <si>
    <t>4 Position FFC, FPC Connector Contacts, Top and Bottom 0.039" (1.00mm) Surface Mount, Right Angle</t>
  </si>
  <si>
    <t>Connector Header Surface Mount, Right Angle 2 position 0.039 _1.00mm_</t>
  </si>
  <si>
    <t>CONN HEADER VERT 3POS 2.54MM</t>
  </si>
  <si>
    <t>Inductor Power Shielded Wirewound 22uH 20% 100KHz Ferrite 1A 0.306Ohm DCR 1818 T/R</t>
  </si>
  <si>
    <t>Green 520nm LED Indication - Discrete 3.2V 0603 (1608 Metric)</t>
  </si>
  <si>
    <t>SOT-23 MOSFETs ROHS</t>
  </si>
  <si>
    <t>27 kOhms ±1% 0.063W, 1/16W Chip Resistor 0402 (1005 Metric) Moisture Resistant Thick Film</t>
  </si>
  <si>
    <t>4.7 kOhms ±1% 0.063W, 1/16W Chip Resistor 0402 (1005 Metric) Moisture Resistant Thick Film</t>
  </si>
  <si>
    <t>3 kOhms ±1% 0.063W, 1/16W Chip Resistor 0402 (1005 Metric) Moisture Resistant Thick Film</t>
  </si>
  <si>
    <t>10 kOhms ±1% 0.063W, 1/16W Chip Resistor 0402 (1005 Metric) Moisture Resistant Thick Film</t>
  </si>
  <si>
    <t>100 Ohms ±1% 0.063W, 1/16W Chip Resistor 0402 (1005 Metric) Moisture Resistant Thick Film</t>
  </si>
  <si>
    <t>400 mOhms ±1% 0.25W, 1/4W Chip Resistor 1206 (3216 Metric) Automotive AEC-Q200, Current Sense, Moisture Resistant Thick Film</t>
  </si>
  <si>
    <t>1 kOhms ±1% 0.063W, 1/16W Chip Resistor 0402 (1005 Metric) Moisture Resistant Thick Film</t>
  </si>
  <si>
    <t>7.68 kOhms ±1% 0.063W, 1/16W Chip Resistor 0402 (1005 Metric) Automotive AEC-Q200, Moisture Resistant Thick Film</t>
  </si>
  <si>
    <t>20 Ohms ±1% 0.2W, 1/5W Chip Resistor 0402 (1005 Metric) Automotive AEC-Q200, Pulse Withstanding Thick Film</t>
  </si>
  <si>
    <t>Tactile Switch SPST-NO Top Actuated Surface Mount</t>
  </si>
  <si>
    <t>Charger IC Multi-Chemistry 8-WSON (2x2)</t>
  </si>
  <si>
    <t>IC REG LDO 3.3V 0.25A SOT23-3</t>
  </si>
  <si>
    <t>AVR tinyAVR™ 1, Functional Safety (FuSa) Microcontroller IC 8-Bit 20MHz 16KB (16K x 8) FLASH 20-VQFN (3x3)</t>
  </si>
  <si>
    <t>LED Driver IC 1 Output DC DC Regulator Step-Up (Boost) PWM Dimming 550mA (Switch) SOT-23-6</t>
  </si>
  <si>
    <t>Footprint</t>
  </si>
  <si>
    <t>Cap-0402</t>
  </si>
  <si>
    <t>SOD323F</t>
  </si>
  <si>
    <t>XF3M(1)-0415-1B</t>
  </si>
  <si>
    <t>SM02B-SRSS-TB(LF)(SN)</t>
  </si>
  <si>
    <t>3 Pin POGO</t>
  </si>
  <si>
    <t>IND_1235AS-H-220M=P3</t>
  </si>
  <si>
    <t>150060GS75000</t>
  </si>
  <si>
    <t>SOT-23</t>
  </si>
  <si>
    <t>Res-0402</t>
  </si>
  <si>
    <t>Res-1206</t>
  </si>
  <si>
    <t>RESC1005X40N</t>
  </si>
  <si>
    <t>PTS525SM15SMTR2LFS</t>
  </si>
  <si>
    <t>BQ25170DSGR</t>
  </si>
  <si>
    <t>20-VQFN (3x3)</t>
  </si>
  <si>
    <t>AP3019AKTR-G1</t>
  </si>
  <si>
    <t>Manufacturer Part Number</t>
  </si>
  <si>
    <t>GRM155R71C104KA88J</t>
  </si>
  <si>
    <t>CC0402KRX5R8BB224</t>
  </si>
  <si>
    <t>MM3Z3V3B</t>
  </si>
  <si>
    <t>SM02B-SRSS-TB_LF__SN_</t>
  </si>
  <si>
    <t>68000-103HLF</t>
  </si>
  <si>
    <t>1235AS-H-220M=P3</t>
  </si>
  <si>
    <t>FDN335N</t>
  </si>
  <si>
    <t>RC0402FR-0727KL</t>
  </si>
  <si>
    <t>RC0402FR-074K7L</t>
  </si>
  <si>
    <t>RC0402FR-073KL</t>
  </si>
  <si>
    <t>RC0402FR-0710KL</t>
  </si>
  <si>
    <t>RC0402FR-07100RL</t>
  </si>
  <si>
    <t>RL1206FR-070R4L</t>
  </si>
  <si>
    <t>RC0402FR-071KL</t>
  </si>
  <si>
    <t>AC0402FR-077K68L</t>
  </si>
  <si>
    <t>RCS040220R0FKED</t>
  </si>
  <si>
    <t>PTS526 SK15 SMTR2 LFS</t>
  </si>
  <si>
    <t>MCP1700T-3302E/TT</t>
  </si>
  <si>
    <t>ATTINY1616-MNR</t>
  </si>
  <si>
    <t>Manufacturer</t>
  </si>
  <si>
    <t>Murata Electronics</t>
  </si>
  <si>
    <t>YAGEO</t>
  </si>
  <si>
    <t>ON Semiconductor / Fairchild</t>
  </si>
  <si>
    <t>Omron Electronics Inc-EMC Div</t>
  </si>
  <si>
    <t>JST Sales</t>
  </si>
  <si>
    <t>Würth Elektronik</t>
  </si>
  <si>
    <t>onsemi</t>
  </si>
  <si>
    <t>Vishay Dale</t>
  </si>
  <si>
    <t>C&amp;K</t>
  </si>
  <si>
    <t>Texas Instruments</t>
  </si>
  <si>
    <t>Microchip</t>
  </si>
  <si>
    <t>Microchip Tech</t>
  </si>
  <si>
    <t>Diodes Incorporated</t>
  </si>
  <si>
    <t>Comment</t>
  </si>
  <si>
    <t>1uF</t>
  </si>
  <si>
    <t>0.1uF</t>
  </si>
  <si>
    <t>0.22uF</t>
  </si>
  <si>
    <t>22uH</t>
  </si>
  <si>
    <t>GREEN</t>
  </si>
  <si>
    <t>27K</t>
  </si>
  <si>
    <t>4.7K</t>
  </si>
  <si>
    <t>3K</t>
  </si>
  <si>
    <t>10K</t>
  </si>
  <si>
    <t>100R</t>
  </si>
  <si>
    <t>0.4R</t>
  </si>
  <si>
    <t>1K</t>
  </si>
  <si>
    <t>7.68K</t>
  </si>
  <si>
    <t>20R</t>
  </si>
  <si>
    <t>Quantity</t>
  </si>
  <si>
    <t>0402X105K250CT</t>
  </si>
  <si>
    <t>Walsin Technologies</t>
  </si>
  <si>
    <t>Header</t>
  </si>
  <si>
    <t>Switch</t>
  </si>
  <si>
    <t xml:space="preserve"> 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</si>
</sst>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26"/>
  <sheetViews>
    <sheetView tabSelected="1" workbookViewId="0">
      <selection activeCell="L8" sqref="L8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11</v>
      </c>
      <c r="E2" s="6" t="s">
        <v>36</v>
      </c>
      <c r="F2" s="5" t="s">
        <v>61</v>
      </c>
      <c r="G2" s="6" t="s">
        <v>77</v>
      </c>
      <c r="H2" s="5" t="s">
        <v>97</v>
      </c>
      <c r="I2" s="6" t="s">
        <v>111</v>
      </c>
      <c r="J2" s="5" t="s">
        <v>126</v>
      </c>
      <c r="K2" s="5" t="s">
        <v>131</v>
      </c>
    </row>
    <row r="3" spans="1:11" ht="48.75" thickBot="1" x14ac:dyDescent="0.3">
      <c r="A3" s="1"/>
      <c r="B3" s="11">
        <f>ROW(B3) - ROW($B$2)</f>
        <v>1</v>
      </c>
      <c r="C3" s="12" t="s">
        <v>2</v>
      </c>
      <c r="D3" s="7" t="s">
        <v>12</v>
      </c>
      <c r="E3" s="8" t="s">
        <v>37</v>
      </c>
      <c r="F3" s="7" t="s">
        <v>62</v>
      </c>
      <c r="G3" s="8" t="s">
        <v>127</v>
      </c>
      <c r="H3" s="7" t="s">
        <v>128</v>
      </c>
      <c r="I3" s="8" t="s">
        <v>112</v>
      </c>
      <c r="J3" s="7">
        <v>5</v>
      </c>
      <c r="K3" s="7"/>
    </row>
    <row r="4" spans="1:11" ht="24.75" thickBot="1" x14ac:dyDescent="0.3">
      <c r="A4" s="1"/>
      <c r="B4" s="11">
        <f t="shared" ref="B4:B26" si="0">ROW(B4) - ROW($B$2)</f>
        <v>2</v>
      </c>
      <c r="C4" s="13" t="s">
        <v>2</v>
      </c>
      <c r="D4" s="9" t="s">
        <v>13</v>
      </c>
      <c r="E4" s="10" t="s">
        <v>38</v>
      </c>
      <c r="F4" s="9" t="s">
        <v>62</v>
      </c>
      <c r="G4" s="10" t="s">
        <v>78</v>
      </c>
      <c r="H4" s="9" t="s">
        <v>98</v>
      </c>
      <c r="I4" s="10" t="s">
        <v>113</v>
      </c>
      <c r="J4" s="9">
        <v>2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14</v>
      </c>
      <c r="E5" s="8" t="s">
        <v>39</v>
      </c>
      <c r="F5" s="7" t="s">
        <v>62</v>
      </c>
      <c r="G5" s="8" t="s">
        <v>79</v>
      </c>
      <c r="H5" s="7" t="s">
        <v>99</v>
      </c>
      <c r="I5" s="8" t="s">
        <v>114</v>
      </c>
      <c r="J5" s="7">
        <v>1</v>
      </c>
      <c r="K5" s="7"/>
    </row>
    <row r="6" spans="1:11" ht="24.75" thickBot="1" x14ac:dyDescent="0.3">
      <c r="A6" s="1"/>
      <c r="B6" s="11">
        <f t="shared" si="0"/>
        <v>4</v>
      </c>
      <c r="C6" s="13" t="s">
        <v>3</v>
      </c>
      <c r="D6" s="9" t="s">
        <v>15</v>
      </c>
      <c r="E6" s="10" t="s">
        <v>40</v>
      </c>
      <c r="F6" s="9" t="s">
        <v>63</v>
      </c>
      <c r="G6" s="10" t="s">
        <v>80</v>
      </c>
      <c r="H6" s="9" t="s">
        <v>100</v>
      </c>
      <c r="I6" s="10" t="s">
        <v>80</v>
      </c>
      <c r="J6" s="9">
        <v>1</v>
      </c>
      <c r="K6" s="9"/>
    </row>
    <row r="7" spans="1:11" ht="36.75" thickBot="1" x14ac:dyDescent="0.3">
      <c r="A7" s="1"/>
      <c r="B7" s="11">
        <f>ROW(B7) - ROW($B$2)</f>
        <v>5</v>
      </c>
      <c r="C7" s="12" t="s">
        <v>4</v>
      </c>
      <c r="D7" s="7" t="s">
        <v>16</v>
      </c>
      <c r="E7" s="8" t="s">
        <v>41</v>
      </c>
      <c r="F7" s="7" t="s">
        <v>64</v>
      </c>
      <c r="G7" s="8" t="s">
        <v>64</v>
      </c>
      <c r="H7" s="7" t="s">
        <v>101</v>
      </c>
      <c r="I7" s="8" t="s">
        <v>64</v>
      </c>
      <c r="J7" s="7">
        <v>2</v>
      </c>
      <c r="K7" s="7"/>
    </row>
    <row r="8" spans="1:11" ht="36.75" thickBot="1" x14ac:dyDescent="0.3">
      <c r="A8" s="1"/>
      <c r="B8" s="11">
        <f t="shared" si="0"/>
        <v>6</v>
      </c>
      <c r="C8" s="13" t="s">
        <v>129</v>
      </c>
      <c r="D8" s="9" t="s">
        <v>17</v>
      </c>
      <c r="E8" s="10" t="s">
        <v>42</v>
      </c>
      <c r="F8" s="9" t="s">
        <v>65</v>
      </c>
      <c r="G8" s="10" t="s">
        <v>81</v>
      </c>
      <c r="H8" s="9" t="s">
        <v>102</v>
      </c>
      <c r="I8" s="10" t="s">
        <v>65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129</v>
      </c>
      <c r="D9" s="7" t="s">
        <v>18</v>
      </c>
      <c r="E9" s="8" t="s">
        <v>43</v>
      </c>
      <c r="F9" s="7" t="s">
        <v>66</v>
      </c>
      <c r="G9" s="8" t="s">
        <v>82</v>
      </c>
      <c r="H9" s="7"/>
      <c r="I9" s="8" t="s">
        <v>66</v>
      </c>
      <c r="J9" s="7">
        <v>1</v>
      </c>
      <c r="K9" s="7"/>
    </row>
    <row r="10" spans="1:11" ht="36.75" thickBot="1" x14ac:dyDescent="0.3">
      <c r="A10" s="1"/>
      <c r="B10" s="11">
        <f t="shared" si="0"/>
        <v>8</v>
      </c>
      <c r="C10" s="13" t="s">
        <v>5</v>
      </c>
      <c r="D10" s="9" t="s">
        <v>19</v>
      </c>
      <c r="E10" s="10" t="s">
        <v>44</v>
      </c>
      <c r="F10" s="9" t="s">
        <v>67</v>
      </c>
      <c r="G10" s="10" t="s">
        <v>83</v>
      </c>
      <c r="H10" s="9" t="s">
        <v>98</v>
      </c>
      <c r="I10" s="10" t="s">
        <v>115</v>
      </c>
      <c r="J10" s="9">
        <v>1</v>
      </c>
      <c r="K10" s="9"/>
    </row>
    <row r="11" spans="1:11" ht="24.75" thickBot="1" x14ac:dyDescent="0.3">
      <c r="A11" s="1"/>
      <c r="B11" s="11">
        <f>ROW(B11) - ROW($B$2)</f>
        <v>9</v>
      </c>
      <c r="C11" s="12" t="s">
        <v>6</v>
      </c>
      <c r="D11" s="7" t="s">
        <v>20</v>
      </c>
      <c r="E11" s="8" t="s">
        <v>45</v>
      </c>
      <c r="F11" s="7" t="s">
        <v>68</v>
      </c>
      <c r="G11" s="8" t="s">
        <v>68</v>
      </c>
      <c r="H11" s="7" t="s">
        <v>103</v>
      </c>
      <c r="I11" s="8" t="s">
        <v>116</v>
      </c>
      <c r="J11" s="7">
        <v>3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7</v>
      </c>
      <c r="D12" s="9" t="s">
        <v>21</v>
      </c>
      <c r="E12" s="10" t="s">
        <v>46</v>
      </c>
      <c r="F12" s="9" t="s">
        <v>69</v>
      </c>
      <c r="G12" s="10" t="s">
        <v>84</v>
      </c>
      <c r="H12" s="9" t="s">
        <v>104</v>
      </c>
      <c r="I12" s="10" t="s">
        <v>84</v>
      </c>
      <c r="J12" s="9">
        <v>1</v>
      </c>
      <c r="K12" s="9"/>
    </row>
    <row r="13" spans="1:11" ht="36.75" thickBot="1" x14ac:dyDescent="0.3">
      <c r="A13" s="1"/>
      <c r="B13" s="11">
        <f>ROW(B13) - ROW($B$2)</f>
        <v>11</v>
      </c>
      <c r="C13" s="12" t="s">
        <v>8</v>
      </c>
      <c r="D13" s="7" t="s">
        <v>22</v>
      </c>
      <c r="E13" s="8" t="s">
        <v>47</v>
      </c>
      <c r="F13" s="7" t="s">
        <v>70</v>
      </c>
      <c r="G13" s="8" t="s">
        <v>85</v>
      </c>
      <c r="H13" s="7" t="s">
        <v>99</v>
      </c>
      <c r="I13" s="8" t="s">
        <v>117</v>
      </c>
      <c r="J13" s="7">
        <v>2</v>
      </c>
      <c r="K13" s="7"/>
    </row>
    <row r="14" spans="1:11" ht="36.75" thickBot="1" x14ac:dyDescent="0.3">
      <c r="A14" s="1"/>
      <c r="B14" s="11">
        <f t="shared" si="0"/>
        <v>12</v>
      </c>
      <c r="C14" s="13" t="s">
        <v>8</v>
      </c>
      <c r="D14" s="9" t="s">
        <v>23</v>
      </c>
      <c r="E14" s="10" t="s">
        <v>48</v>
      </c>
      <c r="F14" s="9" t="s">
        <v>70</v>
      </c>
      <c r="G14" s="10" t="s">
        <v>86</v>
      </c>
      <c r="H14" s="9" t="s">
        <v>99</v>
      </c>
      <c r="I14" s="10" t="s">
        <v>118</v>
      </c>
      <c r="J14" s="9">
        <v>1</v>
      </c>
      <c r="K14" s="9"/>
    </row>
    <row r="15" spans="1:11" ht="36.75" thickBot="1" x14ac:dyDescent="0.3">
      <c r="A15" s="1"/>
      <c r="B15" s="11">
        <f>ROW(B15) - ROW($B$2)</f>
        <v>13</v>
      </c>
      <c r="C15" s="12" t="s">
        <v>8</v>
      </c>
      <c r="D15" s="7" t="s">
        <v>24</v>
      </c>
      <c r="E15" s="8" t="s">
        <v>49</v>
      </c>
      <c r="F15" s="7" t="s">
        <v>70</v>
      </c>
      <c r="G15" s="8" t="s">
        <v>87</v>
      </c>
      <c r="H15" s="7" t="s">
        <v>99</v>
      </c>
      <c r="I15" s="8" t="s">
        <v>119</v>
      </c>
      <c r="J15" s="7">
        <v>1</v>
      </c>
      <c r="K15" s="7"/>
    </row>
    <row r="16" spans="1:11" ht="36.75" thickBot="1" x14ac:dyDescent="0.3">
      <c r="A16" s="1"/>
      <c r="B16" s="11">
        <f t="shared" si="0"/>
        <v>14</v>
      </c>
      <c r="C16" s="13" t="s">
        <v>8</v>
      </c>
      <c r="D16" s="9" t="s">
        <v>25</v>
      </c>
      <c r="E16" s="10" t="s">
        <v>50</v>
      </c>
      <c r="F16" s="9" t="s">
        <v>70</v>
      </c>
      <c r="G16" s="10" t="s">
        <v>88</v>
      </c>
      <c r="H16" s="9" t="s">
        <v>99</v>
      </c>
      <c r="I16" s="10" t="s">
        <v>120</v>
      </c>
      <c r="J16" s="9">
        <v>3</v>
      </c>
      <c r="K16" s="9"/>
    </row>
    <row r="17" spans="1:11" ht="36.75" thickBot="1" x14ac:dyDescent="0.3">
      <c r="A17" s="1"/>
      <c r="B17" s="11">
        <f>ROW(B17) - ROW($B$2)</f>
        <v>15</v>
      </c>
      <c r="C17" s="12" t="s">
        <v>8</v>
      </c>
      <c r="D17" s="7" t="s">
        <v>26</v>
      </c>
      <c r="E17" s="8" t="s">
        <v>51</v>
      </c>
      <c r="F17" s="7" t="s">
        <v>70</v>
      </c>
      <c r="G17" s="8" t="s">
        <v>89</v>
      </c>
      <c r="H17" s="7" t="s">
        <v>99</v>
      </c>
      <c r="I17" s="8" t="s">
        <v>121</v>
      </c>
      <c r="J17" s="7">
        <v>3</v>
      </c>
      <c r="K17" s="7"/>
    </row>
    <row r="18" spans="1:11" ht="48.75" thickBot="1" x14ac:dyDescent="0.3">
      <c r="A18" s="1"/>
      <c r="B18" s="11">
        <f t="shared" si="0"/>
        <v>16</v>
      </c>
      <c r="C18" s="13" t="s">
        <v>8</v>
      </c>
      <c r="D18" s="9" t="s">
        <v>27</v>
      </c>
      <c r="E18" s="10" t="s">
        <v>52</v>
      </c>
      <c r="F18" s="9" t="s">
        <v>71</v>
      </c>
      <c r="G18" s="10" t="s">
        <v>90</v>
      </c>
      <c r="H18" s="9" t="s">
        <v>99</v>
      </c>
      <c r="I18" s="10" t="s">
        <v>122</v>
      </c>
      <c r="J18" s="9">
        <v>1</v>
      </c>
      <c r="K18" s="9"/>
    </row>
    <row r="19" spans="1:11" ht="36.75" thickBot="1" x14ac:dyDescent="0.3">
      <c r="A19" s="1"/>
      <c r="B19" s="11">
        <f>ROW(B19) - ROW($B$2)</f>
        <v>17</v>
      </c>
      <c r="C19" s="12" t="s">
        <v>8</v>
      </c>
      <c r="D19" s="7" t="s">
        <v>28</v>
      </c>
      <c r="E19" s="8" t="s">
        <v>53</v>
      </c>
      <c r="F19" s="7" t="s">
        <v>70</v>
      </c>
      <c r="G19" s="8" t="s">
        <v>91</v>
      </c>
      <c r="H19" s="7" t="s">
        <v>99</v>
      </c>
      <c r="I19" s="8" t="s">
        <v>123</v>
      </c>
      <c r="J19" s="7">
        <v>1</v>
      </c>
      <c r="K19" s="7"/>
    </row>
    <row r="20" spans="1:11" ht="48.75" thickBot="1" x14ac:dyDescent="0.3">
      <c r="A20" s="1"/>
      <c r="B20" s="11">
        <f t="shared" si="0"/>
        <v>18</v>
      </c>
      <c r="C20" s="13" t="s">
        <v>8</v>
      </c>
      <c r="D20" s="9" t="s">
        <v>29</v>
      </c>
      <c r="E20" s="10" t="s">
        <v>54</v>
      </c>
      <c r="F20" s="9" t="s">
        <v>70</v>
      </c>
      <c r="G20" s="10" t="s">
        <v>92</v>
      </c>
      <c r="H20" s="9" t="s">
        <v>99</v>
      </c>
      <c r="I20" s="10" t="s">
        <v>124</v>
      </c>
      <c r="J20" s="9">
        <v>1</v>
      </c>
      <c r="K20" s="9"/>
    </row>
    <row r="21" spans="1:11" ht="48.75" thickBot="1" x14ac:dyDescent="0.3">
      <c r="A21" s="1"/>
      <c r="B21" s="11">
        <f>ROW(B21) - ROW($B$2)</f>
        <v>19</v>
      </c>
      <c r="C21" s="12" t="s">
        <v>8</v>
      </c>
      <c r="D21" s="7" t="s">
        <v>30</v>
      </c>
      <c r="E21" s="8" t="s">
        <v>55</v>
      </c>
      <c r="F21" s="7" t="s">
        <v>72</v>
      </c>
      <c r="G21" s="8" t="s">
        <v>93</v>
      </c>
      <c r="H21" s="7" t="s">
        <v>105</v>
      </c>
      <c r="I21" s="8" t="s">
        <v>125</v>
      </c>
      <c r="J21" s="7">
        <v>1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130</v>
      </c>
      <c r="D22" s="9" t="s">
        <v>31</v>
      </c>
      <c r="E22" s="10" t="s">
        <v>56</v>
      </c>
      <c r="F22" s="9" t="s">
        <v>73</v>
      </c>
      <c r="G22" s="10" t="s">
        <v>94</v>
      </c>
      <c r="H22" s="9" t="s">
        <v>106</v>
      </c>
      <c r="I22" s="10" t="s">
        <v>94</v>
      </c>
      <c r="J22" s="9">
        <v>1</v>
      </c>
      <c r="K22" s="9"/>
    </row>
    <row r="23" spans="1:11" ht="24.75" thickBot="1" x14ac:dyDescent="0.3">
      <c r="A23" s="1"/>
      <c r="B23" s="11">
        <f>ROW(B23) - ROW($B$2)</f>
        <v>21</v>
      </c>
      <c r="C23" s="12" t="s">
        <v>9</v>
      </c>
      <c r="D23" s="7" t="s">
        <v>32</v>
      </c>
      <c r="E23" s="8" t="s">
        <v>57</v>
      </c>
      <c r="F23" s="7" t="s">
        <v>74</v>
      </c>
      <c r="G23" s="8" t="s">
        <v>74</v>
      </c>
      <c r="H23" s="7" t="s">
        <v>107</v>
      </c>
      <c r="I23" s="8" t="s">
        <v>74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10</v>
      </c>
      <c r="D24" s="9" t="s">
        <v>33</v>
      </c>
      <c r="E24" s="10" t="s">
        <v>58</v>
      </c>
      <c r="F24" s="9" t="s">
        <v>69</v>
      </c>
      <c r="G24" s="10" t="s">
        <v>95</v>
      </c>
      <c r="H24" s="9" t="s">
        <v>108</v>
      </c>
      <c r="I24" s="10" t="s">
        <v>95</v>
      </c>
      <c r="J24" s="9">
        <v>1</v>
      </c>
      <c r="K24" s="9"/>
    </row>
    <row r="25" spans="1:11" ht="48.75" thickBot="1" x14ac:dyDescent="0.3">
      <c r="A25" s="1"/>
      <c r="B25" s="11">
        <f>ROW(B25) - ROW($B$2)</f>
        <v>23</v>
      </c>
      <c r="C25" s="12" t="s">
        <v>10</v>
      </c>
      <c r="D25" s="7" t="s">
        <v>34</v>
      </c>
      <c r="E25" s="8" t="s">
        <v>59</v>
      </c>
      <c r="F25" s="7" t="s">
        <v>75</v>
      </c>
      <c r="G25" s="8" t="s">
        <v>96</v>
      </c>
      <c r="H25" s="7" t="s">
        <v>109</v>
      </c>
      <c r="I25" s="8" t="s">
        <v>96</v>
      </c>
      <c r="J25" s="7">
        <v>1</v>
      </c>
      <c r="K25" s="7"/>
    </row>
    <row r="26" spans="1:11" ht="36.75" thickBot="1" x14ac:dyDescent="0.3">
      <c r="A26" s="1"/>
      <c r="B26" s="11">
        <f t="shared" si="0"/>
        <v>24</v>
      </c>
      <c r="C26" s="13" t="s">
        <v>10</v>
      </c>
      <c r="D26" s="9" t="s">
        <v>35</v>
      </c>
      <c r="E26" s="10" t="s">
        <v>60</v>
      </c>
      <c r="F26" s="9" t="s">
        <v>76</v>
      </c>
      <c r="G26" s="10" t="s">
        <v>76</v>
      </c>
      <c r="H26" s="9" t="s">
        <v>110</v>
      </c>
      <c r="I26" s="10" t="s">
        <v>76</v>
      </c>
      <c r="J26" s="9">
        <v>1</v>
      </c>
      <c r="K26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LiberDB</cp:lastModifiedBy>
  <dcterms:created xsi:type="dcterms:W3CDTF">2019-12-12T10:34:26Z</dcterms:created>
  <dcterms:modified xsi:type="dcterms:W3CDTF">2024-06-07T14:08:25Z</dcterms:modified>
</cp:coreProperties>
</file>